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codeName="ThisWorkbook"/>
  <mc:AlternateContent xmlns:mc="http://schemas.openxmlformats.org/markup-compatibility/2006">
    <mc:Choice Requires="x15">
      <x15ac:absPath xmlns:x15ac="http://schemas.microsoft.com/office/spreadsheetml/2010/11/ac" url="https://uofnebraska-my.sharepoint.com/personal/75287548_nebraska_edu/Documents/Sophomore Year 25-26/PYTHON CIVE/"/>
    </mc:Choice>
  </mc:AlternateContent>
  <xr:revisionPtr revIDLastSave="129" documentId="8_{7B3F8F2E-A80D-412A-BAB9-349D1FCBC903}" xr6:coauthVersionLast="47" xr6:coauthVersionMax="47" xr10:uidLastSave="{F131BB36-7994-4E83-A19E-7A512412D8CB}"/>
  <bookViews>
    <workbookView xWindow="-98" yWindow="-98" windowWidth="21795" windowHeight="12975"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 i="11" l="1"/>
  <c r="H7" i="11"/>
  <c r="E9" i="11" l="1"/>
  <c r="I5" i="11" l="1"/>
  <c r="H26" i="11"/>
  <c r="H25" i="11"/>
  <c r="H20" i="11"/>
  <c r="H14" i="11"/>
  <c r="H8" i="11"/>
  <c r="H21" i="11" l="1"/>
  <c r="H22" i="11"/>
  <c r="H9" i="11"/>
  <c r="I6" i="11"/>
  <c r="H10" i="11" l="1"/>
  <c r="H23" i="11"/>
  <c r="H15" i="11"/>
  <c r="H13" i="11"/>
  <c r="J5" i="11"/>
  <c r="K5" i="11" s="1"/>
  <c r="L5" i="11" s="1"/>
  <c r="M5" i="11" s="1"/>
  <c r="N5" i="11" s="1"/>
  <c r="O5" i="11" s="1"/>
  <c r="P5" i="11" s="1"/>
  <c r="I4" i="11"/>
  <c r="H24" i="11" l="1"/>
  <c r="H16" i="11"/>
  <c r="H11" i="11"/>
  <c r="H12" i="11"/>
  <c r="P4" i="11"/>
  <c r="Q5" i="11"/>
  <c r="R5" i="11" s="1"/>
  <c r="S5" i="11" s="1"/>
  <c r="T5" i="11" s="1"/>
  <c r="U5" i="11" s="1"/>
  <c r="V5" i="11" s="1"/>
  <c r="W5" i="11" s="1"/>
  <c r="J6" i="11"/>
  <c r="H19" i="11" l="1"/>
  <c r="H18" i="11"/>
  <c r="H17" i="1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<sst xmlns="http://schemas.openxmlformats.org/spreadsheetml/2006/main" count="56" uniqueCount="47">
  <si>
    <t>Project #3</t>
  </si>
  <si>
    <t>Project start:</t>
  </si>
  <si>
    <t>Group Members</t>
  </si>
  <si>
    <t>Ashlee Zamora-Alvarez, Emma Robbins, Lillian Strohl, Justin Witcofski</t>
  </si>
  <si>
    <t>Display week:</t>
  </si>
  <si>
    <t>TASK</t>
  </si>
  <si>
    <t>ASSIGNED TO</t>
  </si>
  <si>
    <t>PROGRESS</t>
  </si>
  <si>
    <t>START</t>
  </si>
  <si>
    <t>END</t>
  </si>
  <si>
    <t xml:space="preserve">Do not delete this row. This row is hidden to preserve a formula that is used to highlight the current day within the project schedule. </t>
  </si>
  <si>
    <t>Initiation</t>
  </si>
  <si>
    <t>Define goals</t>
  </si>
  <si>
    <t>Ashlee, Emma, Lillian, Justin</t>
  </si>
  <si>
    <t>Planning and design</t>
  </si>
  <si>
    <t>Data Cleaning</t>
  </si>
  <si>
    <t>Emma, Justin</t>
  </si>
  <si>
    <t>Data Processing</t>
  </si>
  <si>
    <t>Define scope</t>
  </si>
  <si>
    <t>Execution</t>
  </si>
  <si>
    <t xml:space="preserve">Writing Code </t>
  </si>
  <si>
    <t>Emma</t>
  </si>
  <si>
    <t>Writing SOW</t>
  </si>
  <si>
    <t>Writing ACD</t>
  </si>
  <si>
    <t>Justin</t>
  </si>
  <si>
    <t>Writing Technical Report</t>
  </si>
  <si>
    <t xml:space="preserve">Time sheet </t>
  </si>
  <si>
    <t>Testing and validation</t>
  </si>
  <si>
    <t>Evaluation</t>
  </si>
  <si>
    <t>Final Report</t>
  </si>
  <si>
    <t>Evaluate progress</t>
  </si>
  <si>
    <t>Gather feedback</t>
  </si>
  <si>
    <t>Insert new rows ABOVE this one</t>
  </si>
  <si>
    <t>SIMPLE GANTT CHART by Vertex42.com</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</si>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</sst>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0">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6"/>
      <color theme="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0">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09">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4" fillId="0" borderId="0" xfId="0" applyFont="1"/>
    <xf numFmtId="0" fontId="1" fillId="0" borderId="0" xfId="1" applyFont="1" applyAlignment="1" applyProtection="1">
      <alignment horizontal="left" vertical="top" indent="1"/>
    </xf>
    <xf numFmtId="0" fontId="4" fillId="0" borderId="0" xfId="0" applyFont="1" applyAlignment="1">
      <alignment horizontal="left" indent="1"/>
    </xf>
    <xf numFmtId="167" fontId="19" fillId="12" borderId="18" xfId="0" applyNumberFormat="1" applyFont="1" applyFill="1" applyBorder="1" applyAlignment="1">
      <alignment horizontal="center" vertical="center"/>
    </xf>
    <xf numFmtId="167" fontId="19" fillId="12" borderId="16" xfId="0" applyNumberFormat="1" applyFont="1" applyFill="1" applyBorder="1" applyAlignment="1">
      <alignment horizontal="center" vertical="center"/>
    </xf>
    <xf numFmtId="167" fontId="19" fillId="12" borderId="17" xfId="0" applyNumberFormat="1" applyFont="1" applyFill="1" applyBorder="1" applyAlignment="1">
      <alignment horizontal="center" vertical="center"/>
    </xf>
    <xf numFmtId="0" fontId="20" fillId="2" borderId="15" xfId="0" applyFont="1" applyFill="1" applyBorder="1" applyAlignment="1">
      <alignment horizontal="center" vertical="center" shrinkToFit="1"/>
    </xf>
    <xf numFmtId="0" fontId="20" fillId="2" borderId="12" xfId="0" applyFont="1" applyFill="1" applyBorder="1" applyAlignment="1">
      <alignment horizontal="center" vertical="center" shrinkToFit="1"/>
    </xf>
    <xf numFmtId="0" fontId="20" fillId="2" borderId="13" xfId="0" applyFont="1" applyFill="1" applyBorder="1" applyAlignment="1">
      <alignment horizontal="center" vertical="center" shrinkToFit="1"/>
    </xf>
    <xf numFmtId="0" fontId="17" fillId="0" borderId="0" xfId="0" applyFont="1"/>
    <xf numFmtId="0" fontId="17" fillId="0" borderId="0" xfId="0" applyFont="1" applyAlignment="1">
      <alignment wrapText="1"/>
    </xf>
    <xf numFmtId="0" fontId="4" fillId="0" borderId="3" xfId="0" applyFont="1" applyBorder="1" applyAlignment="1">
      <alignment vertical="center"/>
    </xf>
    <xf numFmtId="0" fontId="21" fillId="6" borderId="0" xfId="0" applyFont="1" applyFill="1" applyAlignment="1">
      <alignment horizontal="left" vertical="center" indent="1"/>
    </xf>
    <xf numFmtId="0" fontId="17" fillId="6" borderId="0" xfId="11" applyFont="1" applyFill="1" applyBorder="1" applyAlignment="1">
      <alignment vertical="center"/>
    </xf>
    <xf numFmtId="9" fontId="1" fillId="6" borderId="0" xfId="2" applyFont="1" applyFill="1" applyBorder="1" applyAlignment="1">
      <alignment horizontal="center" vertical="center"/>
    </xf>
    <xf numFmtId="164" fontId="17"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0" xfId="0" applyFont="1" applyBorder="1" applyAlignment="1">
      <alignment vertical="center"/>
    </xf>
    <xf numFmtId="0" fontId="4" fillId="0" borderId="0" xfId="0" applyFont="1" applyAlignment="1">
      <alignment vertical="center"/>
    </xf>
    <xf numFmtId="0" fontId="17" fillId="3" borderId="6" xfId="12" applyFont="1" applyFill="1" applyBorder="1">
      <alignment horizontal="left" vertical="center" indent="2"/>
    </xf>
    <xf numFmtId="9" fontId="1" fillId="3" borderId="6" xfId="2" applyFont="1" applyFill="1" applyBorder="1" applyAlignment="1">
      <alignment horizontal="center" vertical="center"/>
    </xf>
    <xf numFmtId="164" fontId="17" fillId="3" borderId="6" xfId="10" applyFont="1" applyFill="1" applyBorder="1">
      <alignment horizontal="center" vertical="center"/>
    </xf>
    <xf numFmtId="0" fontId="4" fillId="0" borderId="4" xfId="0" applyFont="1" applyBorder="1" applyAlignment="1">
      <alignment vertical="center"/>
    </xf>
    <xf numFmtId="0" fontId="4" fillId="0" borderId="4" xfId="0" applyFont="1" applyBorder="1" applyAlignment="1">
      <alignment horizontal="right" vertical="center"/>
    </xf>
    <xf numFmtId="0" fontId="21" fillId="7" borderId="0" xfId="0" applyFont="1" applyFill="1" applyAlignment="1">
      <alignment horizontal="left" vertical="center" indent="1"/>
    </xf>
    <xf numFmtId="0" fontId="17" fillId="7" borderId="0" xfId="11" applyFont="1" applyFill="1" applyBorder="1" applyAlignment="1">
      <alignment vertical="center"/>
    </xf>
    <xf numFmtId="9" fontId="1" fillId="7" borderId="0" xfId="2" applyFont="1" applyFill="1" applyBorder="1" applyAlignment="1">
      <alignment horizontal="center" vertical="center"/>
    </xf>
    <xf numFmtId="164" fontId="17"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7" fillId="4" borderId="5" xfId="12" applyFont="1" applyFill="1" applyBorder="1">
      <alignment horizontal="left" vertical="center" indent="2"/>
    </xf>
    <xf numFmtId="0" fontId="17" fillId="4" borderId="5" xfId="11" applyFont="1" applyFill="1" applyBorder="1" applyAlignment="1">
      <alignment vertical="center"/>
    </xf>
    <xf numFmtId="9" fontId="1" fillId="4" borderId="5" xfId="2" applyFont="1" applyFill="1" applyBorder="1" applyAlignment="1">
      <alignment horizontal="center" vertical="center"/>
    </xf>
    <xf numFmtId="164" fontId="17" fillId="4" borderId="5" xfId="10" applyFont="1" applyFill="1" applyBorder="1">
      <alignment horizontal="center" vertical="center"/>
    </xf>
    <xf numFmtId="0" fontId="21" fillId="8" borderId="0" xfId="0" applyFont="1" applyFill="1" applyAlignment="1">
      <alignment horizontal="left" vertical="center" indent="1"/>
    </xf>
    <xf numFmtId="0" fontId="17" fillId="8" borderId="0" xfId="11" applyFont="1" applyFill="1" applyBorder="1" applyAlignment="1">
      <alignment vertical="center"/>
    </xf>
    <xf numFmtId="9" fontId="1" fillId="8" borderId="0" xfId="2" applyFont="1" applyFill="1" applyBorder="1" applyAlignment="1">
      <alignment horizontal="center" vertical="center"/>
    </xf>
    <xf numFmtId="164" fontId="17"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9" xfId="0" applyFont="1" applyBorder="1" applyAlignment="1">
      <alignment vertical="center"/>
    </xf>
    <xf numFmtId="0" fontId="17" fillId="5" borderId="7" xfId="12" applyFont="1" applyFill="1" applyBorder="1">
      <alignment horizontal="left" vertical="center" indent="2"/>
    </xf>
    <xf numFmtId="0" fontId="17" fillId="5" borderId="7" xfId="11" applyFont="1" applyFill="1" applyBorder="1" applyAlignment="1">
      <alignment vertical="center"/>
    </xf>
    <xf numFmtId="9" fontId="1" fillId="5" borderId="7" xfId="2" applyFont="1" applyFill="1" applyBorder="1" applyAlignment="1">
      <alignment horizontal="center" vertical="center"/>
    </xf>
    <xf numFmtId="164" fontId="17" fillId="5" borderId="7" xfId="10" applyFont="1" applyFill="1" applyBorder="1">
      <alignment horizontal="center" vertical="center"/>
    </xf>
    <xf numFmtId="0" fontId="21" fillId="9" borderId="0" xfId="0" applyFont="1" applyFill="1" applyAlignment="1">
      <alignment horizontal="left" vertical="center" indent="1"/>
    </xf>
    <xf numFmtId="0" fontId="17" fillId="9" borderId="0" xfId="11" applyFont="1" applyFill="1" applyBorder="1" applyAlignment="1">
      <alignment vertical="center"/>
    </xf>
    <xf numFmtId="9" fontId="1" fillId="9" borderId="0" xfId="2" applyFont="1" applyFill="1" applyBorder="1" applyAlignment="1">
      <alignment horizontal="center" vertical="center"/>
    </xf>
    <xf numFmtId="164" fontId="17"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17" fillId="10" borderId="8" xfId="12" applyFont="1" applyFill="1" applyBorder="1">
      <alignment horizontal="left" vertical="center" indent="2"/>
    </xf>
    <xf numFmtId="0" fontId="17" fillId="10" borderId="8" xfId="11" applyFont="1" applyFill="1" applyBorder="1" applyAlignment="1">
      <alignment vertical="center"/>
    </xf>
    <xf numFmtId="9" fontId="1" fillId="10" borderId="8" xfId="2" applyFont="1" applyFill="1" applyBorder="1" applyAlignment="1">
      <alignment horizontal="center" vertical="center"/>
    </xf>
    <xf numFmtId="164" fontId="17" fillId="10" borderId="8" xfId="10" applyFont="1" applyFill="1" applyBorder="1">
      <alignment horizontal="center" vertical="center"/>
    </xf>
    <xf numFmtId="0" fontId="17" fillId="0" borderId="0" xfId="12" applyFont="1" applyBorder="1">
      <alignment horizontal="left" vertical="center" indent="2"/>
    </xf>
    <xf numFmtId="0" fontId="17" fillId="0" borderId="0" xfId="11" applyFont="1" applyBorder="1" applyAlignment="1">
      <alignment vertical="center"/>
    </xf>
    <xf numFmtId="9" fontId="1" fillId="0" borderId="0" xfId="2" applyFont="1" applyBorder="1" applyAlignment="1">
      <alignment horizontal="center" vertical="center"/>
    </xf>
    <xf numFmtId="164" fontId="17" fillId="0" borderId="0" xfId="10" applyFont="1" applyBorder="1">
      <alignment horizontal="center" vertical="center"/>
    </xf>
    <xf numFmtId="0" fontId="22" fillId="2" borderId="0" xfId="0" applyFont="1" applyFill="1" applyAlignment="1">
      <alignment horizontal="left" vertical="center" indent="1"/>
    </xf>
    <xf numFmtId="0" fontId="22" fillId="2" borderId="0" xfId="0" applyFont="1" applyFill="1" applyAlignment="1">
      <alignment vertical="center"/>
    </xf>
    <xf numFmtId="9" fontId="1" fillId="2" borderId="0" xfId="2" applyFont="1" applyFill="1" applyBorder="1" applyAlignment="1">
      <alignment horizontal="center" vertical="center"/>
    </xf>
    <xf numFmtId="164" fontId="23"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7"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4" fillId="0" borderId="0" xfId="0" applyFont="1" applyAlignment="1">
      <alignment horizontal="left" vertical="center" indent="1"/>
    </xf>
    <xf numFmtId="0" fontId="28" fillId="0" borderId="0" xfId="0" applyFont="1" applyAlignment="1">
      <alignment horizontal="left" vertical="top" wrapText="1" indent="1"/>
    </xf>
    <xf numFmtId="0" fontId="0" fillId="0" borderId="0" xfId="0" applyAlignment="1">
      <alignment horizontal="left" vertical="top" wrapText="1" indent="1"/>
    </xf>
    <xf numFmtId="0" fontId="29" fillId="0" borderId="0" xfId="1" applyFont="1" applyAlignment="1" applyProtection="1">
      <alignment horizontal="left" vertical="top" indent="1"/>
    </xf>
    <xf numFmtId="0" fontId="1" fillId="0" borderId="0" xfId="0" applyFont="1" applyAlignment="1">
      <alignment horizontal="left" vertical="top" indent="1"/>
    </xf>
    <xf numFmtId="0" fontId="13" fillId="0" borderId="0" xfId="3" applyAlignment="1">
      <alignment wrapText="1"/>
    </xf>
    <xf numFmtId="0" fontId="18" fillId="11" borderId="14" xfId="0" applyFont="1" applyFill="1" applyBorder="1" applyAlignment="1">
      <alignment horizontal="left" vertical="center" indent="1"/>
    </xf>
    <xf numFmtId="0" fontId="4" fillId="2" borderId="19" xfId="0" applyFont="1" applyFill="1" applyBorder="1" applyAlignment="1">
      <alignment horizontal="left" indent="1"/>
    </xf>
    <xf numFmtId="0" fontId="18" fillId="11" borderId="14" xfId="0" applyFont="1" applyFill="1" applyBorder="1" applyAlignment="1">
      <alignment vertical="center"/>
    </xf>
    <xf numFmtId="0" fontId="18" fillId="11" borderId="14" xfId="0" applyFont="1" applyFill="1" applyBorder="1" applyAlignment="1">
      <alignment horizontal="center" vertical="center"/>
    </xf>
    <xf numFmtId="0" fontId="25" fillId="0" borderId="0" xfId="0" applyFont="1" applyAlignment="1">
      <alignment horizontal="left"/>
    </xf>
    <xf numFmtId="165" fontId="25" fillId="0" borderId="0" xfId="9" applyFont="1" applyBorder="1" applyAlignment="1">
      <alignment horizontal="left"/>
    </xf>
    <xf numFmtId="0" fontId="24" fillId="0" borderId="0" xfId="8" applyFont="1" applyAlignment="1">
      <alignment horizontal="left"/>
    </xf>
    <xf numFmtId="0" fontId="24" fillId="0" borderId="0" xfId="7" applyFont="1" applyAlignment="1">
      <alignment horizontal="center" vertical="center"/>
    </xf>
    <xf numFmtId="0" fontId="0" fillId="0" borderId="0" xfId="0" applyAlignment="1">
      <alignment horizontal="center" vertical="center"/>
    </xf>
    <xf numFmtId="166" fontId="17" fillId="2" borderId="11" xfId="0" applyNumberFormat="1" applyFont="1" applyFill="1" applyBorder="1" applyAlignment="1">
      <alignment horizontal="center" vertical="center" wrapText="1"/>
    </xf>
    <xf numFmtId="166" fontId="17" fillId="2" borderId="17" xfId="0" applyNumberFormat="1" applyFont="1" applyFill="1" applyBorder="1" applyAlignment="1">
      <alignment horizontal="center" vertical="center" wrapText="1"/>
    </xf>
    <xf numFmtId="166" fontId="17" fillId="2" borderId="16" xfId="0" applyNumberFormat="1" applyFont="1" applyFill="1" applyBorder="1" applyAlignment="1">
      <alignment horizontal="center" vertical="center" wrapText="1"/>
    </xf>
    <xf numFmtId="0" fontId="4" fillId="0" borderId="0" xfId="0" applyFont="1" applyAlignment="1"/>
    <xf numFmtId="0" fontId="26" fillId="0" borderId="0" xfId="0" applyFont="1" applyAlignment="1"/>
    <xf numFmtId="0" fontId="4" fillId="2" borderId="19" xfId="0" applyFont="1" applyFill="1" applyBorder="1" applyAlignment="1"/>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6">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5"/>
      <tableStyleElement type="headerRow" dxfId="14"/>
      <tableStyleElement type="totalRow" dxfId="13"/>
      <tableStyleElement type="firstColumn" dxfId="12"/>
      <tableStyleElement type="lastColumn" dxfId="11"/>
      <tableStyleElement type="firstRowStripe" dxfId="10"/>
      <tableStyleElement type="secondRowStripe" dxfId="9"/>
      <tableStyleElement type="firstColumnStripe" dxfId="8"/>
      <tableStyleElement type="secondColumn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29"/>
  <sheetViews>
    <sheetView showGridLines="0" tabSelected="1" showRuler="0" topLeftCell="A10" zoomScale="51" zoomScaleNormal="100" zoomScalePageLayoutView="70" workbookViewId="0">
      <selection activeCell="A21" sqref="A21:XFD21"/>
    </sheetView>
  </sheetViews>
  <sheetFormatPr defaultColWidth="8.75" defaultRowHeight="30" customHeight="1"/>
  <cols>
    <col min="1" max="1" width="2.75" style="13" customWidth="1"/>
    <col min="2" max="2" width="22.75" customWidth="1"/>
    <col min="3" max="3" width="16.75" customWidth="1"/>
    <col min="4" max="4" width="10.75" customWidth="1"/>
    <col min="5" max="5" width="10.75" style="2" customWidth="1"/>
    <col min="6" max="6" width="10.75" customWidth="1"/>
    <col min="7" max="7" width="2.75" customWidth="1"/>
    <col min="8" max="8" width="6" hidden="1" customWidth="1"/>
    <col min="9" max="65" width="2.75" customWidth="1"/>
  </cols>
  <sheetData>
    <row r="1" spans="1:64" ht="90" customHeight="1">
      <c r="A1" s="14"/>
      <c r="B1" s="85" t="s">
        <v>0</v>
      </c>
      <c r="C1" s="18"/>
      <c r="D1" s="19"/>
      <c r="E1" s="20"/>
      <c r="F1" s="21"/>
      <c r="H1" s="1"/>
      <c r="I1" s="100" t="s">
        <v>1</v>
      </c>
      <c r="J1" s="106"/>
      <c r="K1" s="106"/>
      <c r="L1" s="106"/>
      <c r="M1" s="106"/>
      <c r="N1" s="106"/>
      <c r="O1" s="106"/>
      <c r="P1" s="22"/>
      <c r="Q1" s="99">
        <f>DATE(2026,4,1)</f>
        <v>46113</v>
      </c>
      <c r="R1" s="107"/>
      <c r="S1" s="107"/>
      <c r="T1" s="107"/>
      <c r="U1" s="107"/>
      <c r="V1" s="107"/>
      <c r="W1" s="107"/>
      <c r="X1" s="107"/>
      <c r="Y1" s="107"/>
      <c r="Z1" s="107"/>
    </row>
    <row r="2" spans="1:64" ht="30" customHeight="1">
      <c r="B2" s="101" t="s">
        <v>2</v>
      </c>
      <c r="C2" s="102" t="s">
        <v>3</v>
      </c>
      <c r="D2" s="102"/>
      <c r="E2" s="102"/>
      <c r="F2" s="102"/>
      <c r="I2" s="100" t="s">
        <v>4</v>
      </c>
      <c r="J2" s="106"/>
      <c r="K2" s="106"/>
      <c r="L2" s="106"/>
      <c r="M2" s="106"/>
      <c r="N2" s="106"/>
      <c r="O2" s="106"/>
      <c r="P2" s="22"/>
      <c r="Q2" s="98">
        <v>1</v>
      </c>
      <c r="R2" s="107"/>
      <c r="S2" s="107"/>
      <c r="T2" s="107"/>
      <c r="U2" s="107"/>
      <c r="V2" s="107"/>
      <c r="W2" s="107"/>
      <c r="X2" s="107"/>
      <c r="Y2" s="107"/>
      <c r="Z2" s="107"/>
    </row>
    <row r="3" spans="1:64" s="23" customFormat="1" ht="30" customHeight="1">
      <c r="A3" s="13"/>
      <c r="B3" s="101"/>
      <c r="C3" s="102"/>
      <c r="D3" s="102"/>
      <c r="E3" s="102"/>
      <c r="F3" s="102"/>
    </row>
    <row r="4" spans="1:64" s="23" customFormat="1" ht="30" customHeight="1">
      <c r="A4" s="14"/>
      <c r="B4" s="24"/>
      <c r="E4" s="25"/>
      <c r="I4" s="105">
        <f>I5</f>
        <v>46111</v>
      </c>
      <c r="J4" s="103"/>
      <c r="K4" s="103"/>
      <c r="L4" s="103"/>
      <c r="M4" s="103"/>
      <c r="N4" s="103"/>
      <c r="O4" s="103"/>
      <c r="P4" s="103">
        <f>P5</f>
        <v>46118</v>
      </c>
      <c r="Q4" s="103"/>
      <c r="R4" s="103"/>
      <c r="S4" s="103"/>
      <c r="T4" s="103"/>
      <c r="U4" s="103"/>
      <c r="V4" s="103"/>
      <c r="W4" s="103">
        <f>W5</f>
        <v>46125</v>
      </c>
      <c r="X4" s="103"/>
      <c r="Y4" s="103"/>
      <c r="Z4" s="103"/>
      <c r="AA4" s="103"/>
      <c r="AB4" s="103"/>
      <c r="AC4" s="103"/>
      <c r="AD4" s="103">
        <f>AD5</f>
        <v>46132</v>
      </c>
      <c r="AE4" s="103"/>
      <c r="AF4" s="103"/>
      <c r="AG4" s="103"/>
      <c r="AH4" s="103"/>
      <c r="AI4" s="103"/>
      <c r="AJ4" s="103"/>
      <c r="AK4" s="103">
        <f>AK5</f>
        <v>46139</v>
      </c>
      <c r="AL4" s="103"/>
      <c r="AM4" s="103"/>
      <c r="AN4" s="103"/>
      <c r="AO4" s="103"/>
      <c r="AP4" s="103"/>
      <c r="AQ4" s="103"/>
      <c r="AR4" s="103">
        <f>AR5</f>
        <v>46146</v>
      </c>
      <c r="AS4" s="103"/>
      <c r="AT4" s="103"/>
      <c r="AU4" s="103"/>
      <c r="AV4" s="103"/>
      <c r="AW4" s="103"/>
      <c r="AX4" s="103"/>
      <c r="AY4" s="103">
        <f>AY5</f>
        <v>46153</v>
      </c>
      <c r="AZ4" s="103"/>
      <c r="BA4" s="103"/>
      <c r="BB4" s="103"/>
      <c r="BC4" s="103"/>
      <c r="BD4" s="103"/>
      <c r="BE4" s="103"/>
      <c r="BF4" s="103">
        <f>BF5</f>
        <v>46160</v>
      </c>
      <c r="BG4" s="103"/>
      <c r="BH4" s="103"/>
      <c r="BI4" s="103"/>
      <c r="BJ4" s="103"/>
      <c r="BK4" s="103"/>
      <c r="BL4" s="104"/>
    </row>
    <row r="5" spans="1:64" s="23" customFormat="1" ht="15" customHeight="1">
      <c r="A5" s="93"/>
      <c r="B5" s="94" t="s">
        <v>5</v>
      </c>
      <c r="C5" s="96" t="s">
        <v>6</v>
      </c>
      <c r="D5" s="97" t="s">
        <v>7</v>
      </c>
      <c r="E5" s="97" t="s">
        <v>8</v>
      </c>
      <c r="F5" s="97" t="s">
        <v>9</v>
      </c>
      <c r="I5" s="26">
        <f>Project_Start-WEEKDAY(Project_Start,1)+2+7*(Display_Week-1)</f>
        <v>46111</v>
      </c>
      <c r="J5" s="26">
        <f>I5+1</f>
        <v>46112</v>
      </c>
      <c r="K5" s="26">
        <f t="shared" ref="K5:AX5" si="0">J5+1</f>
        <v>46113</v>
      </c>
      <c r="L5" s="26">
        <f t="shared" si="0"/>
        <v>46114</v>
      </c>
      <c r="M5" s="26">
        <f t="shared" si="0"/>
        <v>46115</v>
      </c>
      <c r="N5" s="26">
        <f t="shared" si="0"/>
        <v>46116</v>
      </c>
      <c r="O5" s="27">
        <f t="shared" si="0"/>
        <v>46117</v>
      </c>
      <c r="P5" s="28">
        <f>O5+1</f>
        <v>46118</v>
      </c>
      <c r="Q5" s="26">
        <f>P5+1</f>
        <v>46119</v>
      </c>
      <c r="R5" s="26">
        <f t="shared" si="0"/>
        <v>46120</v>
      </c>
      <c r="S5" s="26">
        <f t="shared" si="0"/>
        <v>46121</v>
      </c>
      <c r="T5" s="26">
        <f t="shared" si="0"/>
        <v>46122</v>
      </c>
      <c r="U5" s="26">
        <f t="shared" si="0"/>
        <v>46123</v>
      </c>
      <c r="V5" s="27">
        <f t="shared" si="0"/>
        <v>46124</v>
      </c>
      <c r="W5" s="28">
        <f>V5+1</f>
        <v>46125</v>
      </c>
      <c r="X5" s="26">
        <f>W5+1</f>
        <v>46126</v>
      </c>
      <c r="Y5" s="26">
        <f t="shared" si="0"/>
        <v>46127</v>
      </c>
      <c r="Z5" s="26">
        <f t="shared" si="0"/>
        <v>46128</v>
      </c>
      <c r="AA5" s="26">
        <f t="shared" si="0"/>
        <v>46129</v>
      </c>
      <c r="AB5" s="26">
        <f t="shared" si="0"/>
        <v>46130</v>
      </c>
      <c r="AC5" s="27">
        <f t="shared" si="0"/>
        <v>46131</v>
      </c>
      <c r="AD5" s="28">
        <f>AC5+1</f>
        <v>46132</v>
      </c>
      <c r="AE5" s="26">
        <f>AD5+1</f>
        <v>46133</v>
      </c>
      <c r="AF5" s="26">
        <f t="shared" si="0"/>
        <v>46134</v>
      </c>
      <c r="AG5" s="26">
        <f t="shared" si="0"/>
        <v>46135</v>
      </c>
      <c r="AH5" s="26">
        <f t="shared" si="0"/>
        <v>46136</v>
      </c>
      <c r="AI5" s="26">
        <f t="shared" si="0"/>
        <v>46137</v>
      </c>
      <c r="AJ5" s="27">
        <f t="shared" si="0"/>
        <v>46138</v>
      </c>
      <c r="AK5" s="28">
        <f>AJ5+1</f>
        <v>46139</v>
      </c>
      <c r="AL5" s="26">
        <f>AK5+1</f>
        <v>46140</v>
      </c>
      <c r="AM5" s="26">
        <f t="shared" si="0"/>
        <v>46141</v>
      </c>
      <c r="AN5" s="26">
        <f t="shared" si="0"/>
        <v>46142</v>
      </c>
      <c r="AO5" s="26">
        <f t="shared" si="0"/>
        <v>46143</v>
      </c>
      <c r="AP5" s="26">
        <f t="shared" si="0"/>
        <v>46144</v>
      </c>
      <c r="AQ5" s="27">
        <f t="shared" si="0"/>
        <v>46145</v>
      </c>
      <c r="AR5" s="28">
        <f>AQ5+1</f>
        <v>46146</v>
      </c>
      <c r="AS5" s="26">
        <f>AR5+1</f>
        <v>46147</v>
      </c>
      <c r="AT5" s="26">
        <f t="shared" si="0"/>
        <v>46148</v>
      </c>
      <c r="AU5" s="26">
        <f t="shared" si="0"/>
        <v>46149</v>
      </c>
      <c r="AV5" s="26">
        <f t="shared" si="0"/>
        <v>46150</v>
      </c>
      <c r="AW5" s="26">
        <f t="shared" si="0"/>
        <v>46151</v>
      </c>
      <c r="AX5" s="27">
        <f t="shared" si="0"/>
        <v>46152</v>
      </c>
      <c r="AY5" s="28">
        <f>AX5+1</f>
        <v>46153</v>
      </c>
      <c r="AZ5" s="26">
        <f>AY5+1</f>
        <v>46154</v>
      </c>
      <c r="BA5" s="26">
        <f t="shared" ref="BA5:BE5" si="1">AZ5+1</f>
        <v>46155</v>
      </c>
      <c r="BB5" s="26">
        <f t="shared" si="1"/>
        <v>46156</v>
      </c>
      <c r="BC5" s="26">
        <f t="shared" si="1"/>
        <v>46157</v>
      </c>
      <c r="BD5" s="26">
        <f t="shared" si="1"/>
        <v>46158</v>
      </c>
      <c r="BE5" s="27">
        <f t="shared" si="1"/>
        <v>46159</v>
      </c>
      <c r="BF5" s="28">
        <f>BE5+1</f>
        <v>46160</v>
      </c>
      <c r="BG5" s="26">
        <f>BF5+1</f>
        <v>46161</v>
      </c>
      <c r="BH5" s="26">
        <f t="shared" ref="BH5:BL5" si="2">BG5+1</f>
        <v>46162</v>
      </c>
      <c r="BI5" s="26">
        <f t="shared" si="2"/>
        <v>46163</v>
      </c>
      <c r="BJ5" s="26">
        <f t="shared" si="2"/>
        <v>46164</v>
      </c>
      <c r="BK5" s="26">
        <f t="shared" si="2"/>
        <v>46165</v>
      </c>
      <c r="BL5" s="26">
        <f t="shared" si="2"/>
        <v>46166</v>
      </c>
    </row>
    <row r="6" spans="1:64" s="23" customFormat="1" ht="15" customHeight="1" thickBot="1">
      <c r="A6" s="93"/>
      <c r="B6" s="95"/>
      <c r="C6" s="108"/>
      <c r="D6" s="108"/>
      <c r="E6" s="108"/>
      <c r="F6" s="108"/>
      <c r="I6" s="29" t="str">
        <f t="shared" ref="I6:AN6" si="3">LEFT(TEXT(I5,"ddd"),1)</f>
        <v>M</v>
      </c>
      <c r="J6" s="30" t="str">
        <f t="shared" si="3"/>
        <v>T</v>
      </c>
      <c r="K6" s="30" t="str">
        <f t="shared" si="3"/>
        <v>W</v>
      </c>
      <c r="L6" s="30" t="str">
        <f t="shared" si="3"/>
        <v>T</v>
      </c>
      <c r="M6" s="30" t="str">
        <f t="shared" si="3"/>
        <v>F</v>
      </c>
      <c r="N6" s="30" t="str">
        <f t="shared" si="3"/>
        <v>S</v>
      </c>
      <c r="O6" s="30" t="str">
        <f t="shared" si="3"/>
        <v>S</v>
      </c>
      <c r="P6" s="30" t="str">
        <f t="shared" si="3"/>
        <v>M</v>
      </c>
      <c r="Q6" s="30" t="str">
        <f t="shared" si="3"/>
        <v>T</v>
      </c>
      <c r="R6" s="30" t="str">
        <f t="shared" si="3"/>
        <v>W</v>
      </c>
      <c r="S6" s="30" t="str">
        <f t="shared" si="3"/>
        <v>T</v>
      </c>
      <c r="T6" s="30" t="str">
        <f t="shared" si="3"/>
        <v>F</v>
      </c>
      <c r="U6" s="30" t="str">
        <f t="shared" si="3"/>
        <v>S</v>
      </c>
      <c r="V6" s="30" t="str">
        <f t="shared" si="3"/>
        <v>S</v>
      </c>
      <c r="W6" s="30" t="str">
        <f t="shared" si="3"/>
        <v>M</v>
      </c>
      <c r="X6" s="30" t="str">
        <f t="shared" si="3"/>
        <v>T</v>
      </c>
      <c r="Y6" s="30" t="str">
        <f t="shared" si="3"/>
        <v>W</v>
      </c>
      <c r="Z6" s="30" t="str">
        <f t="shared" si="3"/>
        <v>T</v>
      </c>
      <c r="AA6" s="30" t="str">
        <f t="shared" si="3"/>
        <v>F</v>
      </c>
      <c r="AB6" s="30" t="str">
        <f t="shared" si="3"/>
        <v>S</v>
      </c>
      <c r="AC6" s="30" t="str">
        <f t="shared" si="3"/>
        <v>S</v>
      </c>
      <c r="AD6" s="30" t="str">
        <f t="shared" si="3"/>
        <v>M</v>
      </c>
      <c r="AE6" s="30" t="str">
        <f t="shared" si="3"/>
        <v>T</v>
      </c>
      <c r="AF6" s="30" t="str">
        <f t="shared" si="3"/>
        <v>W</v>
      </c>
      <c r="AG6" s="30" t="str">
        <f t="shared" si="3"/>
        <v>T</v>
      </c>
      <c r="AH6" s="30" t="str">
        <f t="shared" si="3"/>
        <v>F</v>
      </c>
      <c r="AI6" s="30" t="str">
        <f t="shared" si="3"/>
        <v>S</v>
      </c>
      <c r="AJ6" s="30" t="str">
        <f t="shared" si="3"/>
        <v>S</v>
      </c>
      <c r="AK6" s="30" t="str">
        <f t="shared" si="3"/>
        <v>M</v>
      </c>
      <c r="AL6" s="30" t="str">
        <f t="shared" si="3"/>
        <v>T</v>
      </c>
      <c r="AM6" s="30" t="str">
        <f t="shared" si="3"/>
        <v>W</v>
      </c>
      <c r="AN6" s="30" t="str">
        <f t="shared" si="3"/>
        <v>T</v>
      </c>
      <c r="AO6" s="30" t="str">
        <f t="shared" ref="AO6:BL6" si="4">LEFT(TEXT(AO5,"ddd"),1)</f>
        <v>F</v>
      </c>
      <c r="AP6" s="30" t="str">
        <f t="shared" si="4"/>
        <v>S</v>
      </c>
      <c r="AQ6" s="30" t="str">
        <f t="shared" si="4"/>
        <v>S</v>
      </c>
      <c r="AR6" s="30" t="str">
        <f t="shared" si="4"/>
        <v>M</v>
      </c>
      <c r="AS6" s="30" t="str">
        <f t="shared" si="4"/>
        <v>T</v>
      </c>
      <c r="AT6" s="30" t="str">
        <f t="shared" si="4"/>
        <v>W</v>
      </c>
      <c r="AU6" s="30" t="str">
        <f t="shared" si="4"/>
        <v>T</v>
      </c>
      <c r="AV6" s="30" t="str">
        <f t="shared" si="4"/>
        <v>F</v>
      </c>
      <c r="AW6" s="30" t="str">
        <f t="shared" si="4"/>
        <v>S</v>
      </c>
      <c r="AX6" s="30" t="str">
        <f t="shared" si="4"/>
        <v>S</v>
      </c>
      <c r="AY6" s="30" t="str">
        <f t="shared" si="4"/>
        <v>M</v>
      </c>
      <c r="AZ6" s="30" t="str">
        <f t="shared" si="4"/>
        <v>T</v>
      </c>
      <c r="BA6" s="30" t="str">
        <f t="shared" si="4"/>
        <v>W</v>
      </c>
      <c r="BB6" s="30" t="str">
        <f t="shared" si="4"/>
        <v>T</v>
      </c>
      <c r="BC6" s="30" t="str">
        <f t="shared" si="4"/>
        <v>F</v>
      </c>
      <c r="BD6" s="30" t="str">
        <f t="shared" si="4"/>
        <v>S</v>
      </c>
      <c r="BE6" s="30" t="str">
        <f t="shared" si="4"/>
        <v>S</v>
      </c>
      <c r="BF6" s="30" t="str">
        <f t="shared" si="4"/>
        <v>M</v>
      </c>
      <c r="BG6" s="30" t="str">
        <f t="shared" si="4"/>
        <v>T</v>
      </c>
      <c r="BH6" s="30" t="str">
        <f t="shared" si="4"/>
        <v>W</v>
      </c>
      <c r="BI6" s="30" t="str">
        <f t="shared" si="4"/>
        <v>T</v>
      </c>
      <c r="BJ6" s="30" t="str">
        <f t="shared" si="4"/>
        <v>F</v>
      </c>
      <c r="BK6" s="30" t="str">
        <f t="shared" si="4"/>
        <v>S</v>
      </c>
      <c r="BL6" s="31" t="str">
        <f t="shared" si="4"/>
        <v>S</v>
      </c>
    </row>
    <row r="7" spans="1:64" s="23" customFormat="1" ht="30" hidden="1" customHeight="1" thickBot="1">
      <c r="A7" s="13" t="s">
        <v>10</v>
      </c>
      <c r="B7" s="32"/>
      <c r="C7" s="33"/>
      <c r="D7" s="32"/>
      <c r="E7" s="32"/>
      <c r="F7" s="32"/>
      <c r="H7" s="23" t="str">
        <f ca="1">IF(OR(ISBLANK(task_start),ISBLANK(task_end)),"",task_end-task_start+1)</f>
        <v/>
      </c>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4"/>
      <c r="AZ7" s="34"/>
      <c r="BA7" s="34"/>
      <c r="BB7" s="34"/>
      <c r="BC7" s="34"/>
      <c r="BD7" s="34"/>
      <c r="BE7" s="34"/>
      <c r="BF7" s="34"/>
      <c r="BG7" s="34"/>
      <c r="BH7" s="34"/>
      <c r="BI7" s="34"/>
      <c r="BJ7" s="34"/>
      <c r="BK7" s="34"/>
      <c r="BL7" s="34"/>
    </row>
    <row r="8" spans="1:64" s="41" customFormat="1" ht="30" customHeight="1" thickBot="1">
      <c r="A8" s="14"/>
      <c r="B8" s="35" t="s">
        <v>11</v>
      </c>
      <c r="C8" s="36"/>
      <c r="D8" s="37"/>
      <c r="E8" s="38"/>
      <c r="F8" s="39"/>
      <c r="G8" s="17"/>
      <c r="H8" s="5" t="str">
        <f t="shared" ref="H8:H26" ca="1" si="5">IF(OR(ISBLANK(task_start),ISBLANK(task_end)),"",task_end-task_start+1)</f>
        <v/>
      </c>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0"/>
      <c r="BK8" s="40"/>
      <c r="BL8" s="40"/>
    </row>
    <row r="9" spans="1:64" s="41" customFormat="1" ht="30" customHeight="1">
      <c r="A9" s="14"/>
      <c r="B9" s="42" t="s">
        <v>12</v>
      </c>
      <c r="C9" s="42" t="s">
        <v>13</v>
      </c>
      <c r="D9" s="43">
        <v>1</v>
      </c>
      <c r="E9" s="44">
        <f>Project_Start</f>
        <v>46113</v>
      </c>
      <c r="F9" s="44">
        <v>46133</v>
      </c>
      <c r="G9" s="17"/>
      <c r="H9" s="5">
        <f t="shared" ca="1" si="5"/>
        <v>21</v>
      </c>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45"/>
      <c r="AN9" s="45"/>
      <c r="AO9" s="45"/>
      <c r="AP9" s="45"/>
      <c r="AQ9" s="45"/>
      <c r="AR9" s="45"/>
      <c r="AS9" s="45"/>
      <c r="AT9" s="45"/>
      <c r="AU9" s="45"/>
      <c r="AV9" s="45"/>
      <c r="AW9" s="45"/>
      <c r="AX9" s="45"/>
      <c r="AY9" s="45"/>
      <c r="AZ9" s="45"/>
      <c r="BA9" s="45"/>
      <c r="BB9" s="45"/>
      <c r="BC9" s="45"/>
      <c r="BD9" s="45"/>
      <c r="BE9" s="45"/>
      <c r="BF9" s="45"/>
      <c r="BG9" s="45"/>
      <c r="BH9" s="45"/>
      <c r="BI9" s="45"/>
      <c r="BJ9" s="45"/>
      <c r="BK9" s="45"/>
      <c r="BL9" s="45"/>
    </row>
    <row r="10" spans="1:64" s="41" customFormat="1" ht="30" customHeight="1" thickBot="1">
      <c r="A10" s="14"/>
      <c r="B10" s="47" t="s">
        <v>14</v>
      </c>
      <c r="C10" s="48"/>
      <c r="D10" s="49"/>
      <c r="E10" s="50"/>
      <c r="F10" s="51"/>
      <c r="G10" s="17"/>
      <c r="H10" s="5" t="str">
        <f t="shared" ca="1" si="5"/>
        <v/>
      </c>
      <c r="I10" s="45"/>
      <c r="J10" s="45"/>
      <c r="K10" s="45"/>
      <c r="L10" s="45"/>
      <c r="M10" s="45"/>
      <c r="N10" s="45"/>
      <c r="O10" s="45"/>
      <c r="P10" s="45"/>
      <c r="Q10" s="45"/>
      <c r="R10" s="45"/>
      <c r="S10" s="45"/>
      <c r="T10" s="45"/>
      <c r="U10" s="46"/>
      <c r="V10" s="46"/>
      <c r="W10" s="45"/>
      <c r="X10" s="45"/>
      <c r="Y10" s="45"/>
      <c r="Z10" s="45"/>
      <c r="AA10" s="45"/>
      <c r="AB10" s="45"/>
      <c r="AC10" s="45"/>
      <c r="AD10" s="45"/>
      <c r="AE10" s="45"/>
      <c r="AF10" s="45"/>
      <c r="AG10" s="45"/>
      <c r="AH10" s="45"/>
      <c r="AI10" s="45"/>
      <c r="AJ10" s="45"/>
      <c r="AK10" s="45"/>
      <c r="AL10" s="45"/>
      <c r="AM10" s="45"/>
      <c r="AN10" s="45"/>
      <c r="AO10" s="45"/>
      <c r="AP10" s="45"/>
      <c r="AQ10" s="45"/>
      <c r="AR10" s="45"/>
      <c r="AS10" s="45"/>
      <c r="AT10" s="45"/>
      <c r="AU10" s="45"/>
      <c r="AV10" s="45"/>
      <c r="AW10" s="45"/>
      <c r="AX10" s="45"/>
      <c r="AY10" s="45"/>
      <c r="AZ10" s="45"/>
      <c r="BA10" s="45"/>
      <c r="BB10" s="45"/>
      <c r="BC10" s="45"/>
      <c r="BD10" s="45"/>
      <c r="BE10" s="45"/>
      <c r="BF10" s="45"/>
      <c r="BG10" s="45"/>
      <c r="BH10" s="45"/>
      <c r="BI10" s="45"/>
      <c r="BJ10" s="45"/>
      <c r="BK10" s="45"/>
      <c r="BL10" s="45"/>
    </row>
    <row r="11" spans="1:64" s="41" customFormat="1" ht="30" customHeight="1" thickBot="1">
      <c r="A11" s="13"/>
      <c r="B11" s="52" t="s">
        <v>15</v>
      </c>
      <c r="C11" s="53" t="s">
        <v>16</v>
      </c>
      <c r="D11" s="54">
        <v>1</v>
      </c>
      <c r="E11" s="55">
        <v>46126</v>
      </c>
      <c r="F11" s="55">
        <v>46132</v>
      </c>
      <c r="G11" s="17"/>
      <c r="H11" s="5">
        <f t="shared" ca="1" si="5"/>
        <v>7</v>
      </c>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5"/>
      <c r="BD11" s="45"/>
      <c r="BE11" s="45"/>
      <c r="BF11" s="45"/>
      <c r="BG11" s="45"/>
      <c r="BH11" s="45"/>
      <c r="BI11" s="45"/>
      <c r="BJ11" s="45"/>
      <c r="BK11" s="45"/>
      <c r="BL11" s="45"/>
    </row>
    <row r="12" spans="1:64" s="41" customFormat="1" ht="30" customHeight="1" thickBot="1">
      <c r="A12" s="13"/>
      <c r="B12" s="52" t="s">
        <v>17</v>
      </c>
      <c r="C12" s="53" t="s">
        <v>16</v>
      </c>
      <c r="D12" s="54">
        <v>1</v>
      </c>
      <c r="E12" s="55">
        <v>46127</v>
      </c>
      <c r="F12" s="55">
        <v>46132</v>
      </c>
      <c r="G12" s="17"/>
      <c r="H12" s="5">
        <f t="shared" ca="1" si="5"/>
        <v>6</v>
      </c>
      <c r="I12" s="45"/>
      <c r="J12" s="45"/>
      <c r="K12" s="45"/>
      <c r="L12" s="45"/>
      <c r="M12" s="45"/>
      <c r="N12" s="45"/>
      <c r="O12" s="45"/>
      <c r="P12" s="45"/>
      <c r="Q12" s="45"/>
      <c r="R12" s="45"/>
      <c r="S12" s="45"/>
      <c r="T12" s="45"/>
      <c r="U12" s="45"/>
      <c r="V12" s="45"/>
      <c r="W12" s="45"/>
      <c r="X12" s="45"/>
      <c r="Y12" s="46"/>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5"/>
      <c r="BD12" s="45"/>
      <c r="BE12" s="45"/>
      <c r="BF12" s="45"/>
      <c r="BG12" s="45"/>
      <c r="BH12" s="45"/>
      <c r="BI12" s="45"/>
      <c r="BJ12" s="45"/>
      <c r="BK12" s="45"/>
      <c r="BL12" s="45"/>
    </row>
    <row r="13" spans="1:64" s="41" customFormat="1" ht="30" customHeight="1" thickBot="1">
      <c r="A13" s="13"/>
      <c r="B13" s="52" t="s">
        <v>18</v>
      </c>
      <c r="C13" s="53" t="s">
        <v>13</v>
      </c>
      <c r="D13" s="54">
        <v>1</v>
      </c>
      <c r="E13" s="55">
        <v>46128</v>
      </c>
      <c r="F13" s="55">
        <v>46133</v>
      </c>
      <c r="G13" s="17"/>
      <c r="H13" s="5">
        <f t="shared" ca="1" si="5"/>
        <v>6</v>
      </c>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c r="BK13" s="45"/>
      <c r="BL13" s="45"/>
    </row>
    <row r="14" spans="1:64" s="41" customFormat="1" ht="30" customHeight="1" thickBot="1">
      <c r="A14" s="14"/>
      <c r="B14" s="56" t="s">
        <v>19</v>
      </c>
      <c r="C14" s="57"/>
      <c r="D14" s="58"/>
      <c r="E14" s="59"/>
      <c r="F14" s="60"/>
      <c r="G14" s="17"/>
      <c r="H14" s="5" t="str">
        <f t="shared" ca="1" si="5"/>
        <v/>
      </c>
    </row>
    <row r="15" spans="1:64" s="41" customFormat="1" ht="30" customHeight="1" thickBot="1">
      <c r="A15" s="14"/>
      <c r="B15" s="62" t="s">
        <v>20</v>
      </c>
      <c r="C15" s="63" t="s">
        <v>21</v>
      </c>
      <c r="D15" s="64">
        <v>1</v>
      </c>
      <c r="E15" s="65">
        <v>46125</v>
      </c>
      <c r="F15" s="65">
        <v>46132</v>
      </c>
      <c r="G15" s="17"/>
      <c r="H15" s="5">
        <f t="shared" ca="1" si="5"/>
        <v>8</v>
      </c>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5"/>
      <c r="AX15" s="45"/>
      <c r="AY15" s="45"/>
      <c r="AZ15" s="45"/>
      <c r="BA15" s="45"/>
      <c r="BB15" s="45"/>
      <c r="BC15" s="45"/>
      <c r="BD15" s="45"/>
      <c r="BE15" s="45"/>
      <c r="BF15" s="45"/>
      <c r="BG15" s="45"/>
      <c r="BH15" s="45"/>
      <c r="BI15" s="45"/>
      <c r="BJ15" s="45"/>
      <c r="BK15" s="45"/>
      <c r="BL15" s="45"/>
    </row>
    <row r="16" spans="1:64" s="41" customFormat="1" ht="30" customHeight="1" thickBot="1">
      <c r="A16" s="13"/>
      <c r="B16" s="62" t="s">
        <v>22</v>
      </c>
      <c r="C16" s="63" t="s">
        <v>13</v>
      </c>
      <c r="D16" s="64">
        <v>1</v>
      </c>
      <c r="E16" s="65">
        <v>46113</v>
      </c>
      <c r="F16" s="65">
        <v>46133</v>
      </c>
      <c r="G16" s="17"/>
      <c r="H16" s="5">
        <f t="shared" ca="1" si="5"/>
        <v>21</v>
      </c>
      <c r="I16" s="45"/>
      <c r="J16" s="45"/>
      <c r="K16" s="45"/>
      <c r="L16" s="45"/>
      <c r="M16" s="45"/>
      <c r="N16" s="45"/>
      <c r="O16" s="45"/>
      <c r="P16" s="45"/>
      <c r="Q16" s="45"/>
      <c r="R16" s="45"/>
      <c r="S16" s="45"/>
      <c r="T16" s="45"/>
      <c r="U16" s="46"/>
      <c r="V16" s="46"/>
      <c r="W16" s="45"/>
      <c r="X16" s="45"/>
      <c r="Y16" s="45"/>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c r="AX16" s="45"/>
      <c r="AY16" s="45"/>
      <c r="AZ16" s="45"/>
      <c r="BA16" s="45"/>
      <c r="BB16" s="45"/>
      <c r="BC16" s="45"/>
      <c r="BD16" s="45"/>
      <c r="BE16" s="45"/>
      <c r="BF16" s="45"/>
      <c r="BG16" s="45"/>
      <c r="BH16" s="45"/>
      <c r="BI16" s="45"/>
      <c r="BJ16" s="45"/>
      <c r="BK16" s="45"/>
      <c r="BL16" s="45"/>
    </row>
    <row r="17" spans="1:64" s="41" customFormat="1" ht="30" customHeight="1" thickBot="1">
      <c r="A17" s="13"/>
      <c r="B17" s="62" t="s">
        <v>23</v>
      </c>
      <c r="C17" s="63" t="s">
        <v>24</v>
      </c>
      <c r="D17" s="64">
        <v>1</v>
      </c>
      <c r="E17" s="65">
        <v>46131</v>
      </c>
      <c r="F17" s="65">
        <v>46132</v>
      </c>
      <c r="G17" s="17"/>
      <c r="H17" s="5">
        <f t="shared" ca="1" si="5"/>
        <v>2</v>
      </c>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45"/>
      <c r="BD17" s="45"/>
      <c r="BE17" s="45"/>
      <c r="BF17" s="45"/>
      <c r="BG17" s="45"/>
      <c r="BH17" s="45"/>
      <c r="BI17" s="45"/>
      <c r="BJ17" s="45"/>
      <c r="BK17" s="45"/>
      <c r="BL17" s="45"/>
    </row>
    <row r="18" spans="1:64" s="41" customFormat="1" ht="30" customHeight="1" thickBot="1">
      <c r="A18" s="13"/>
      <c r="B18" s="62" t="s">
        <v>25</v>
      </c>
      <c r="C18" s="63" t="s">
        <v>13</v>
      </c>
      <c r="D18" s="64">
        <v>1</v>
      </c>
      <c r="E18" s="65">
        <v>46115</v>
      </c>
      <c r="F18" s="65">
        <v>46132</v>
      </c>
      <c r="G18" s="17"/>
      <c r="H18" s="5">
        <f t="shared" ca="1" si="5"/>
        <v>18</v>
      </c>
      <c r="I18" s="45"/>
      <c r="J18" s="45"/>
      <c r="K18" s="45"/>
      <c r="L18" s="45"/>
      <c r="M18" s="45"/>
      <c r="N18" s="45"/>
      <c r="O18" s="45"/>
      <c r="P18" s="45"/>
      <c r="Q18" s="45"/>
      <c r="R18" s="45"/>
      <c r="S18" s="45"/>
      <c r="T18" s="45"/>
      <c r="U18" s="45"/>
      <c r="V18" s="45"/>
      <c r="W18" s="45"/>
      <c r="X18" s="45"/>
      <c r="Y18" s="46"/>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c r="AX18" s="45"/>
      <c r="AY18" s="45"/>
      <c r="AZ18" s="45"/>
      <c r="BA18" s="45"/>
      <c r="BB18" s="45"/>
      <c r="BC18" s="45"/>
      <c r="BD18" s="45"/>
      <c r="BE18" s="45"/>
      <c r="BF18" s="45"/>
      <c r="BG18" s="45"/>
      <c r="BH18" s="45"/>
      <c r="BI18" s="45"/>
      <c r="BJ18" s="45"/>
      <c r="BK18" s="45"/>
      <c r="BL18" s="45"/>
    </row>
    <row r="19" spans="1:64" s="41" customFormat="1" ht="30" customHeight="1" thickBot="1">
      <c r="A19" s="13"/>
      <c r="B19" s="62" t="s">
        <v>26</v>
      </c>
      <c r="C19" s="63" t="s">
        <v>13</v>
      </c>
      <c r="D19" s="64">
        <v>1</v>
      </c>
      <c r="E19" s="65">
        <v>46115</v>
      </c>
      <c r="F19" s="65">
        <v>46133</v>
      </c>
      <c r="G19" s="17"/>
      <c r="H19" s="5">
        <f t="shared" ca="1" si="5"/>
        <v>19</v>
      </c>
      <c r="I19" s="45"/>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45"/>
      <c r="AT19" s="45"/>
      <c r="AU19" s="45"/>
      <c r="AV19" s="45"/>
      <c r="AW19" s="45"/>
      <c r="AX19" s="45"/>
      <c r="AY19" s="45"/>
      <c r="AZ19" s="45"/>
      <c r="BA19" s="45"/>
      <c r="BB19" s="45"/>
      <c r="BC19" s="45"/>
      <c r="BD19" s="45"/>
      <c r="BE19" s="45"/>
      <c r="BF19" s="45"/>
      <c r="BG19" s="45"/>
      <c r="BH19" s="45"/>
      <c r="BI19" s="45"/>
      <c r="BJ19" s="45"/>
      <c r="BK19" s="45"/>
      <c r="BL19" s="45"/>
    </row>
    <row r="20" spans="1:64" s="41" customFormat="1" ht="30" customHeight="1">
      <c r="A20" s="13"/>
      <c r="B20" s="62" t="s">
        <v>27</v>
      </c>
      <c r="C20" s="63" t="s">
        <v>16</v>
      </c>
      <c r="D20" s="64">
        <v>1</v>
      </c>
      <c r="E20" s="65">
        <v>46132</v>
      </c>
      <c r="F20" s="65">
        <v>46133</v>
      </c>
      <c r="G20" s="17"/>
      <c r="H20" s="5">
        <f t="shared" ca="1" si="5"/>
        <v>2</v>
      </c>
      <c r="I20" s="61"/>
      <c r="J20" s="61"/>
      <c r="K20" s="61"/>
      <c r="L20" s="61"/>
      <c r="M20" s="61"/>
      <c r="N20" s="61"/>
      <c r="O20" s="61"/>
      <c r="P20" s="61"/>
      <c r="Q20" s="61"/>
      <c r="R20" s="61"/>
      <c r="S20" s="61"/>
      <c r="T20" s="61"/>
      <c r="U20" s="61"/>
      <c r="V20" s="61"/>
      <c r="W20" s="61"/>
      <c r="X20" s="61"/>
      <c r="Y20" s="61"/>
      <c r="Z20" s="61"/>
      <c r="AA20" s="61"/>
      <c r="AB20" s="61"/>
      <c r="AC20" s="61"/>
      <c r="AD20" s="61"/>
      <c r="AE20" s="61"/>
      <c r="AF20" s="61"/>
      <c r="AG20" s="61"/>
      <c r="AH20" s="61"/>
      <c r="AI20" s="61"/>
      <c r="AJ20" s="61"/>
      <c r="AK20" s="61"/>
      <c r="AL20" s="61"/>
      <c r="AM20" s="61"/>
      <c r="AN20" s="61"/>
      <c r="AO20" s="61"/>
      <c r="AP20" s="61"/>
      <c r="AQ20" s="61"/>
      <c r="AR20" s="61"/>
      <c r="AS20" s="61"/>
      <c r="AT20" s="61"/>
      <c r="AU20" s="61"/>
      <c r="AV20" s="61"/>
      <c r="AW20" s="61"/>
      <c r="AX20" s="61"/>
      <c r="AY20" s="61"/>
      <c r="AZ20" s="61"/>
      <c r="BA20" s="61"/>
      <c r="BB20" s="61"/>
      <c r="BC20" s="61"/>
      <c r="BD20" s="61"/>
      <c r="BE20" s="61"/>
      <c r="BF20" s="61"/>
      <c r="BG20" s="61"/>
      <c r="BH20" s="61"/>
      <c r="BI20" s="61"/>
      <c r="BJ20" s="61"/>
      <c r="BK20" s="61"/>
      <c r="BL20" s="61"/>
    </row>
    <row r="21" spans="1:64" s="41" customFormat="1" ht="30" customHeight="1">
      <c r="A21" s="13"/>
      <c r="B21" s="66" t="s">
        <v>28</v>
      </c>
      <c r="C21" s="67"/>
      <c r="D21" s="68"/>
      <c r="E21" s="69"/>
      <c r="F21" s="70"/>
      <c r="G21" s="17"/>
      <c r="H21" s="5" t="str">
        <f t="shared" ca="1" si="5"/>
        <v/>
      </c>
      <c r="I21" s="45"/>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c r="AL21" s="45"/>
      <c r="AM21" s="45"/>
      <c r="AN21" s="45"/>
      <c r="AO21" s="45"/>
      <c r="AP21" s="45"/>
      <c r="AQ21" s="45"/>
      <c r="AR21" s="45"/>
      <c r="AS21" s="45"/>
      <c r="AT21" s="45"/>
      <c r="AU21" s="45"/>
      <c r="AV21" s="45"/>
      <c r="AW21" s="45"/>
      <c r="AX21" s="45"/>
      <c r="AY21" s="45"/>
      <c r="AZ21" s="45"/>
      <c r="BA21" s="45"/>
      <c r="BB21" s="45"/>
      <c r="BC21" s="45"/>
      <c r="BD21" s="45"/>
      <c r="BE21" s="45"/>
      <c r="BF21" s="45"/>
      <c r="BG21" s="45"/>
      <c r="BH21" s="45"/>
      <c r="BI21" s="45"/>
      <c r="BJ21" s="45"/>
      <c r="BK21" s="45"/>
      <c r="BL21" s="45"/>
    </row>
    <row r="22" spans="1:64" s="41" customFormat="1" ht="30" customHeight="1" thickBot="1">
      <c r="A22" s="13"/>
      <c r="B22" s="71" t="s">
        <v>29</v>
      </c>
      <c r="C22" s="72" t="s">
        <v>13</v>
      </c>
      <c r="D22" s="73">
        <v>1</v>
      </c>
      <c r="E22" s="74">
        <v>46122</v>
      </c>
      <c r="F22" s="74">
        <v>46133</v>
      </c>
      <c r="G22" s="17"/>
      <c r="H22" s="5">
        <f t="shared" ca="1" si="5"/>
        <v>12</v>
      </c>
      <c r="I22" s="45"/>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c r="AL22" s="45"/>
      <c r="AM22" s="45"/>
      <c r="AN22" s="45"/>
      <c r="AO22" s="45"/>
      <c r="AP22" s="45"/>
      <c r="AQ22" s="45"/>
      <c r="AR22" s="45"/>
      <c r="AS22" s="45"/>
      <c r="AT22" s="45"/>
      <c r="AU22" s="45"/>
      <c r="AV22" s="45"/>
      <c r="AW22" s="45"/>
      <c r="AX22" s="45"/>
      <c r="AY22" s="45"/>
      <c r="AZ22" s="45"/>
      <c r="BA22" s="45"/>
      <c r="BB22" s="45"/>
      <c r="BC22" s="45"/>
      <c r="BD22" s="45"/>
      <c r="BE22" s="45"/>
      <c r="BF22" s="45"/>
      <c r="BG22" s="45"/>
      <c r="BH22" s="45"/>
      <c r="BI22" s="45"/>
      <c r="BJ22" s="45"/>
      <c r="BK22" s="45"/>
      <c r="BL22" s="45"/>
    </row>
    <row r="23" spans="1:64" s="41" customFormat="1" ht="30" customHeight="1" thickBot="1">
      <c r="A23" s="13"/>
      <c r="B23" s="71" t="s">
        <v>30</v>
      </c>
      <c r="C23" s="72" t="s">
        <v>13</v>
      </c>
      <c r="D23" s="73">
        <v>1</v>
      </c>
      <c r="E23" s="74">
        <v>46122</v>
      </c>
      <c r="F23" s="74">
        <v>46132</v>
      </c>
      <c r="G23" s="17"/>
      <c r="H23" s="5">
        <f t="shared" ca="1" si="5"/>
        <v>11</v>
      </c>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45"/>
      <c r="AT23" s="45"/>
      <c r="AU23" s="45"/>
      <c r="AV23" s="45"/>
      <c r="AW23" s="45"/>
      <c r="AX23" s="45"/>
      <c r="AY23" s="45"/>
      <c r="AZ23" s="45"/>
      <c r="BA23" s="45"/>
      <c r="BB23" s="45"/>
      <c r="BC23" s="45"/>
      <c r="BD23" s="45"/>
      <c r="BE23" s="45"/>
      <c r="BF23" s="45"/>
      <c r="BG23" s="45"/>
      <c r="BH23" s="45"/>
      <c r="BI23" s="45"/>
      <c r="BJ23" s="45"/>
      <c r="BK23" s="45"/>
      <c r="BL23" s="45"/>
    </row>
    <row r="24" spans="1:64" s="41" customFormat="1" ht="30" customHeight="1" thickBot="1">
      <c r="A24" s="13"/>
      <c r="B24" s="71" t="s">
        <v>31</v>
      </c>
      <c r="C24" s="72" t="s">
        <v>13</v>
      </c>
      <c r="D24" s="73">
        <v>1</v>
      </c>
      <c r="E24" s="74">
        <v>46116</v>
      </c>
      <c r="F24" s="74">
        <v>46131</v>
      </c>
      <c r="G24" s="17"/>
      <c r="H24" s="5">
        <f t="shared" ca="1" si="5"/>
        <v>16</v>
      </c>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c r="AX24" s="45"/>
      <c r="AY24" s="45"/>
      <c r="AZ24" s="45"/>
      <c r="BA24" s="45"/>
      <c r="BB24" s="45"/>
      <c r="BC24" s="45"/>
      <c r="BD24" s="45"/>
      <c r="BE24" s="45"/>
      <c r="BF24" s="45"/>
      <c r="BG24" s="45"/>
      <c r="BH24" s="45"/>
      <c r="BI24" s="45"/>
      <c r="BJ24" s="45"/>
      <c r="BK24" s="45"/>
      <c r="BL24" s="45"/>
    </row>
    <row r="25" spans="1:64" s="41" customFormat="1" ht="30" customHeight="1" thickBot="1">
      <c r="A25" s="13"/>
      <c r="B25" s="75"/>
      <c r="C25" s="76"/>
      <c r="D25" s="77"/>
      <c r="E25" s="78"/>
      <c r="F25" s="78"/>
      <c r="G25" s="17"/>
      <c r="H25" s="5" t="str">
        <f t="shared" ca="1" si="5"/>
        <v/>
      </c>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s="40"/>
      <c r="BE25" s="40"/>
      <c r="BF25" s="40"/>
      <c r="BG25" s="40"/>
      <c r="BH25" s="40"/>
      <c r="BI25" s="40"/>
      <c r="BJ25" s="40"/>
      <c r="BK25" s="40"/>
      <c r="BL25" s="40"/>
    </row>
    <row r="26" spans="1:64" s="41" customFormat="1" ht="30" customHeight="1" thickBot="1">
      <c r="A26" s="14"/>
      <c r="B26" s="79" t="s">
        <v>32</v>
      </c>
      <c r="C26" s="80"/>
      <c r="D26" s="81"/>
      <c r="E26" s="82"/>
      <c r="F26" s="83"/>
      <c r="G26" s="17"/>
      <c r="H26" s="6" t="str">
        <f t="shared" ca="1" si="5"/>
        <v/>
      </c>
      <c r="I26" s="84"/>
      <c r="J26" s="84"/>
      <c r="K26" s="84"/>
      <c r="L26" s="84"/>
      <c r="M26" s="84"/>
      <c r="N26" s="84"/>
      <c r="O26" s="84"/>
      <c r="P26" s="84"/>
      <c r="Q26" s="84"/>
      <c r="R26" s="84"/>
      <c r="S26" s="84"/>
      <c r="T26" s="84"/>
      <c r="U26" s="84"/>
      <c r="V26" s="84"/>
      <c r="W26" s="84"/>
      <c r="X26" s="84"/>
      <c r="Y26" s="84"/>
      <c r="Z26" s="84"/>
      <c r="AA26" s="84"/>
      <c r="AB26" s="84"/>
      <c r="AC26" s="84"/>
      <c r="AD26" s="84"/>
      <c r="AE26" s="84"/>
      <c r="AF26" s="84"/>
      <c r="AG26" s="84"/>
      <c r="AH26" s="84"/>
      <c r="AI26" s="84"/>
      <c r="AJ26" s="84"/>
      <c r="AK26" s="84"/>
      <c r="AL26" s="84"/>
      <c r="AM26" s="84"/>
      <c r="AN26" s="84"/>
      <c r="AO26" s="84"/>
      <c r="AP26" s="84"/>
      <c r="AQ26" s="84"/>
      <c r="AR26" s="84"/>
      <c r="AS26" s="84"/>
      <c r="AT26" s="84"/>
      <c r="AU26" s="84"/>
      <c r="AV26" s="84"/>
      <c r="AW26" s="84"/>
      <c r="AX26" s="84"/>
      <c r="AY26" s="84"/>
      <c r="AZ26" s="84"/>
      <c r="BA26" s="84"/>
      <c r="BB26" s="84"/>
      <c r="BC26" s="84"/>
      <c r="BD26" s="84"/>
      <c r="BE26" s="84"/>
      <c r="BF26" s="84"/>
      <c r="BG26" s="84"/>
      <c r="BH26" s="84"/>
      <c r="BI26" s="84"/>
      <c r="BJ26" s="84"/>
      <c r="BK26" s="84"/>
      <c r="BL26" s="84"/>
    </row>
    <row r="27" spans="1:64" ht="30" customHeight="1">
      <c r="G27" s="3"/>
    </row>
    <row r="28" spans="1:64" ht="30" customHeight="1">
      <c r="C28" s="16"/>
      <c r="F28" s="15"/>
    </row>
    <row r="29" spans="1:64" ht="30" customHeight="1">
      <c r="C29" s="4"/>
    </row>
  </sheetData>
  <mergeCells count="20">
    <mergeCell ref="B2:B3"/>
    <mergeCell ref="C2:F3"/>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s>
  <conditionalFormatting sqref="D7:D26">
    <cfRule type="dataBar" priority="24">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24">
    <cfRule type="expression" dxfId="6" priority="2">
      <formula>AND(TODAY()&gt;=I$5, TODAY()&lt;J$5)</formula>
    </cfRule>
  </conditionalFormatting>
  <conditionalFormatting sqref="I9:BL13">
    <cfRule type="expression" dxfId="5" priority="7">
      <formula>AND(task_start&lt;=I$5,ROUNDDOWN((task_end-task_start+1)*task_progress,0)+task_start-1&gt;=I$5)</formula>
    </cfRule>
    <cfRule type="expression" dxfId="4" priority="8" stopIfTrue="1">
      <formula>AND(task_end&gt;=I$5,task_start&lt;J$5)</formula>
    </cfRule>
  </conditionalFormatting>
  <conditionalFormatting sqref="I15:BL19">
    <cfRule type="expression" dxfId="3" priority="5">
      <formula>AND(task_start&lt;=I$5,ROUNDDOWN((task_end-task_start+1)*task_progress,0)+task_start-1&gt;=I$5)</formula>
    </cfRule>
    <cfRule type="expression" dxfId="2" priority="6" stopIfTrue="1">
      <formula>AND(task_end&gt;=I$5,task_start&lt;J$5)</formula>
    </cfRule>
  </conditionalFormatting>
  <conditionalFormatting sqref="I21:BL24">
    <cfRule type="expression" dxfId="1" priority="3">
      <formula>AND(task_start&lt;=I$5,ROUNDDOWN((task_end-task_start+1)*task_progress,0)+task_start-1&gt;=I$5)</formula>
    </cfRule>
    <cfRule type="expression" dxfId="0" priority="4" stopIfTrue="1">
      <formula>AND(task_end&gt;=I$5,task_start&lt;J$5)</formula>
    </cfRule>
  </conditionalFormatting>
  <dataValidations count="12">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0" xr:uid="{956902D1-D3B5-416D-BB69-9362D193BC0A}"/>
    <dataValidation allowBlank="1" showInputMessage="1" showErrorMessage="1" prompt="This row marks the end of the Project Schedule. DO NOT enter anything in this row. _x000a_Insert new rows ABOVE this one to continue building out your Project Schedule." sqref="A26"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D7:D26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2.75"/>
  <cols>
    <col min="1" max="1" width="87" style="7" customWidth="1"/>
    <col min="2" max="16384" width="9" style="1"/>
  </cols>
  <sheetData>
    <row r="1" spans="1:2" ht="46.5" customHeight="1"/>
    <row r="2" spans="1:2" s="9" customFormat="1" ht="15">
      <c r="A2" s="86" t="s">
        <v>33</v>
      </c>
      <c r="B2" s="8"/>
    </row>
    <row r="3" spans="1:2" s="11" customFormat="1" ht="27" customHeight="1">
      <c r="A3" s="87"/>
      <c r="B3" s="12"/>
    </row>
    <row r="4" spans="1:2" s="10" customFormat="1" ht="30">
      <c r="A4" s="88" t="s">
        <v>34</v>
      </c>
    </row>
    <row r="5" spans="1:2" ht="74.25" customHeight="1">
      <c r="A5" s="89" t="s">
        <v>35</v>
      </c>
    </row>
    <row r="6" spans="1:2" ht="26.25" customHeight="1">
      <c r="A6" s="88" t="s">
        <v>36</v>
      </c>
    </row>
    <row r="7" spans="1:2" s="7" customFormat="1" ht="205.15" customHeight="1">
      <c r="A7" s="90" t="s">
        <v>37</v>
      </c>
    </row>
    <row r="8" spans="1:2" s="10" customFormat="1" ht="30">
      <c r="A8" s="88" t="s">
        <v>38</v>
      </c>
    </row>
    <row r="9" spans="1:2" ht="40.5">
      <c r="A9" s="89" t="s">
        <v>39</v>
      </c>
    </row>
    <row r="10" spans="1:2" s="7" customFormat="1" ht="28.15" customHeight="1">
      <c r="A10" s="91" t="s">
        <v>40</v>
      </c>
    </row>
    <row r="11" spans="1:2" s="10" customFormat="1" ht="30">
      <c r="A11" s="88" t="s">
        <v>41</v>
      </c>
    </row>
    <row r="12" spans="1:2" ht="27">
      <c r="A12" s="89" t="s">
        <v>42</v>
      </c>
    </row>
    <row r="13" spans="1:2" s="7" customFormat="1" ht="28.15" customHeight="1">
      <c r="A13" s="91" t="s">
        <v>43</v>
      </c>
    </row>
    <row r="14" spans="1:2" s="10" customFormat="1" ht="30">
      <c r="A14" s="88" t="s">
        <v>44</v>
      </c>
    </row>
    <row r="15" spans="1:2" ht="75" customHeight="1">
      <c r="A15" s="89" t="s">
        <v>45</v>
      </c>
    </row>
    <row r="16" spans="1:2" ht="67.5">
      <c r="A16" s="89" t="s">
        <v>46</v>
      </c>
    </row>
    <row r="17" spans="1:1">
      <c r="A17" s="92"/>
    </row>
    <row r="18" spans="1:1">
      <c r="A18" s="92"/>
    </row>
    <row r="19" spans="1:1">
      <c r="A19" s="92"/>
    </row>
    <row r="20" spans="1:1">
      <c r="A20" s="92"/>
    </row>
    <row r="21" spans="1:1">
      <c r="A21" s="92"/>
    </row>
    <row r="22" spans="1:1">
      <c r="A22" s="92"/>
    </row>
    <row r="23" spans="1:1">
      <c r="A23" s="92"/>
    </row>
    <row r="24" spans="1:1">
      <c r="A24" s="92"/>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97245281-08F3-4104-84BD-39F3D8CFB195}"/>
</file>

<file path=customXml/itemProps2.xml><?xml version="1.0" encoding="utf-8"?>
<ds:datastoreItem xmlns:ds="http://schemas.openxmlformats.org/officeDocument/2006/customXml" ds:itemID="{A09426A3-87E9-4865-8A6C-3456B026AE03}"/>
</file>

<file path=customXml/itemProps3.xml><?xml version="1.0" encoding="utf-8"?>
<ds:datastoreItem xmlns:ds="http://schemas.openxmlformats.org/officeDocument/2006/customXml" ds:itemID="{A82239A0-E68C-493F-BEE6-C77FEA397FD6}"/>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Ashlee Zamora Alvarez</dc:creator>
  <cp:keywords/>
  <dc:description/>
  <cp:lastModifiedBy>Emma Robbins</cp:lastModifiedBy>
  <cp:revision/>
  <dcterms:created xsi:type="dcterms:W3CDTF">2022-03-11T22:41:12Z</dcterms:created>
  <dcterms:modified xsi:type="dcterms:W3CDTF">2026-04-19T20:41:08Z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